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OSIY REYTING &amp; BALANS" sheetId="1" state="visible" r:id="rId1"/>
    <sheet xmlns:r="http://schemas.openxmlformats.org/officeDocument/2006/relationships" name="30 KUNLIK MOLIYA VA REYS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so'm&quot;"/>
  </numFmts>
  <fonts count="6">
    <font>
      <name val="Calibri"/>
      <family val="2"/>
      <color theme="1"/>
      <sz val="11"/>
      <scheme val="minor"/>
    </font>
    <font>
      <name val="Arial"/>
      <b val="1"/>
      <color rgb="001F497D"/>
      <sz val="15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E1D5E7"/>
        <bgColor rgb="00E1D5E7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5" customWidth="1" min="3" max="3"/>
    <col width="18" customWidth="1" min="4" max="4"/>
    <col width="18" customWidth="1" min="5" max="5"/>
    <col width="18" customWidth="1" min="6" max="6"/>
    <col width="26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HAYDOVCHILAR REYSLARI, OYLIKLARI VA KASSA BALANSI</t>
        </is>
      </c>
    </row>
    <row r="2">
      <c r="A2" s="2" t="inlineStr">
        <is>
          <t>Kunlik jadvalga 'pustoy' deb yozsangiz, asosiy jadvalda avtomat hisoblab oylikdan chegiradi.</t>
        </is>
      </c>
    </row>
    <row r="4" ht="35" customHeight="1">
      <c r="A4" s="3" t="inlineStr">
        <is>
          <t>T/r</t>
        </is>
      </c>
      <c r="B4" s="3" t="inlineStr">
        <is>
          <t>Haydovchi F.I.O</t>
        </is>
      </c>
      <c r="C4" s="3" t="inlineStr">
        <is>
          <t>Davlat Raqami</t>
        </is>
      </c>
      <c r="D4" s="3" t="inlineStr">
        <is>
          <t>Jami Borish Reyslari</t>
        </is>
      </c>
      <c r="E4" s="3" t="inlineStr">
        <is>
          <t>Jami Qaytish Reyslari</t>
        </is>
      </c>
      <c r="F4" s="3" t="inlineStr">
        <is>
          <t>Jami Umumiy Reyslar</t>
        </is>
      </c>
      <c r="G4" s="3" t="inlineStr">
        <is>
          <t>Avtomat Sanalgan Pustoylar (-)</t>
        </is>
      </c>
      <c r="H4" s="3" t="inlineStr">
        <is>
          <t>1 ta Reys Stavkasi</t>
        </is>
      </c>
      <c r="I4" s="3" t="inlineStr">
        <is>
          <t>Jami Hisoblangan Oylik</t>
        </is>
      </c>
      <c r="J4" s="3" t="inlineStr">
        <is>
          <t>Jami Berilgan Yo'l Puli</t>
        </is>
      </c>
      <c r="K4" s="3" t="inlineStr">
        <is>
          <t>Jami Qaytgan Ortiqcha Pul</t>
        </is>
      </c>
      <c r="L4" s="3" t="inlineStr">
        <is>
          <t>Mijozdan Kelgan Naqd Pul</t>
        </is>
      </c>
      <c r="M4" s="3" t="inlineStr">
        <is>
          <t>Kassa Sof Tushumi</t>
        </is>
      </c>
    </row>
    <row r="5">
      <c r="A5" s="4" t="n">
        <v>1</v>
      </c>
      <c r="B5" s="5" t="inlineStr">
        <is>
          <t>Baltayev Egambergan</t>
        </is>
      </c>
      <c r="C5" s="4" t="inlineStr">
        <is>
          <t>90 070 HBA</t>
        </is>
      </c>
      <c r="D5" s="4">
        <f>COUNTA('30 KUNLIK MOLIYA VA REYSLAR'!D5:AG5)</f>
        <v/>
      </c>
      <c r="E5" s="4">
        <f>COUNTA('30 KUNLIK MOLIYA VA REYSLAR'!D6:AG6)</f>
        <v/>
      </c>
      <c r="F5" s="4">
        <f>D5+E5</f>
        <v/>
      </c>
      <c r="G5" s="4">
        <f>COUNTIF('30 KUNLIK MOLIYA VA REYSLAR'!D5:AG5, "*pustoy*") + COUNTIF('30 KUNLIK MOLIYA VA REYSLAR'!D6:AG6, "*pustoy*")</f>
        <v/>
      </c>
      <c r="H5" s="6" t="inlineStr"/>
      <c r="I5" s="7">
        <f>(F5-G5)*H5</f>
        <v/>
      </c>
      <c r="J5" s="6">
        <f>SUM('30 KUNLIK MOLIYA VA REYSLAR'!D7:AG7)</f>
        <v/>
      </c>
      <c r="K5" s="6">
        <f>SUM('30 KUNLIK MOLIYA VA REYSLAR'!D8:AG8)</f>
        <v/>
      </c>
      <c r="L5" s="6">
        <f>SUM('30 KUNLIK MOLIYA VA REYSLAR'!D9:AG9)</f>
        <v/>
      </c>
      <c r="M5" s="8">
        <f>(L5+K5)-J5-I5</f>
        <v/>
      </c>
    </row>
    <row r="6">
      <c r="A6" s="4" t="n">
        <v>2</v>
      </c>
      <c r="B6" s="5" t="inlineStr">
        <is>
          <t>Kazakov Yunus</t>
        </is>
      </c>
      <c r="C6" s="4" t="inlineStr">
        <is>
          <t>90 636 HBA</t>
        </is>
      </c>
      <c r="D6" s="4">
        <f>COUNTA('30 KUNLIK MOLIYA VA REYSLAR'!D11:AG11)</f>
        <v/>
      </c>
      <c r="E6" s="4">
        <f>COUNTA('30 KUNLIK MOLIYA VA REYSLAR'!D12:AG12)</f>
        <v/>
      </c>
      <c r="F6" s="4">
        <f>D6+E6</f>
        <v/>
      </c>
      <c r="G6" s="4">
        <f>COUNTIF('30 KUNLIK MOLIYA VA REYSLAR'!D11:AG11, "*pustoy*") + COUNTIF('30 KUNLIK MOLIYA VA REYSLAR'!D12:AG12, "*pustoy*")</f>
        <v/>
      </c>
      <c r="H6" s="6" t="inlineStr"/>
      <c r="I6" s="7">
        <f>(F6-G6)*H6</f>
        <v/>
      </c>
      <c r="J6" s="6">
        <f>SUM('30 KUNLIK MOLIYA VA REYSLAR'!D13:AG13)</f>
        <v/>
      </c>
      <c r="K6" s="6">
        <f>SUM('30 KUNLIK MOLIYA VA REYSLAR'!D14:AG14)</f>
        <v/>
      </c>
      <c r="L6" s="6">
        <f>SUM('30 KUNLIK MOLIYA VA REYSLAR'!D15:AG15)</f>
        <v/>
      </c>
      <c r="M6" s="8">
        <f>(L6+K6)-J6-I6</f>
        <v/>
      </c>
    </row>
    <row r="7">
      <c r="A7" s="4" t="n">
        <v>3</v>
      </c>
      <c r="B7" s="5" t="inlineStr">
        <is>
          <t>ASHIROV FARID</t>
        </is>
      </c>
      <c r="C7" s="4" t="inlineStr">
        <is>
          <t>90 974 GBA</t>
        </is>
      </c>
      <c r="D7" s="4">
        <f>COUNTA('30 KUNLIK MOLIYA VA REYSLAR'!D17:AG17)</f>
        <v/>
      </c>
      <c r="E7" s="4">
        <f>COUNTA('30 KUNLIK MOLIYA VA REYSLAR'!D18:AG18)</f>
        <v/>
      </c>
      <c r="F7" s="4">
        <f>D7+E7</f>
        <v/>
      </c>
      <c r="G7" s="4">
        <f>COUNTIF('30 KUNLIK MOLIYA VA REYSLAR'!D17:AG17, "*pustoy*") + COUNTIF('30 KUNLIK MOLIYA VA REYSLAR'!D18:AG18, "*pustoy*")</f>
        <v/>
      </c>
      <c r="H7" s="6" t="inlineStr"/>
      <c r="I7" s="7">
        <f>(F7-G7)*H7</f>
        <v/>
      </c>
      <c r="J7" s="6">
        <f>SUM('30 KUNLIK MOLIYA VA REYSLAR'!D19:AG19)</f>
        <v/>
      </c>
      <c r="K7" s="6">
        <f>SUM('30 KUNLIK MOLIYA VA REYSLAR'!D20:AG20)</f>
        <v/>
      </c>
      <c r="L7" s="6">
        <f>SUM('30 KUNLIK MOLIYA VA REYSLAR'!D21:AG21)</f>
        <v/>
      </c>
      <c r="M7" s="8">
        <f>(L7+K7)-J7-I7</f>
        <v/>
      </c>
    </row>
    <row r="8">
      <c r="A8" s="4" t="n">
        <v>4</v>
      </c>
      <c r="B8" s="5" t="inlineStr">
        <is>
          <t>Baltayev Umirbek</t>
        </is>
      </c>
      <c r="C8" s="4" t="inlineStr">
        <is>
          <t>90 844 CBA</t>
        </is>
      </c>
      <c r="D8" s="4">
        <f>COUNTA('30 KUNLIK MOLIYA VA REYSLAR'!D23:AG23)</f>
        <v/>
      </c>
      <c r="E8" s="4">
        <f>COUNTA('30 KUNLIK MOLIYA VA REYSLAR'!D24:AG24)</f>
        <v/>
      </c>
      <c r="F8" s="4">
        <f>D8+E8</f>
        <v/>
      </c>
      <c r="G8" s="4">
        <f>COUNTIF('30 KUNLIK MOLIYA VA REYSLAR'!D23:AG23, "*pustoy*") + COUNTIF('30 KUNLIK MOLIYA VA REYSLAR'!D24:AG24, "*pustoy*")</f>
        <v/>
      </c>
      <c r="H8" s="6" t="inlineStr"/>
      <c r="I8" s="7">
        <f>(F8-G8)*H8</f>
        <v/>
      </c>
      <c r="J8" s="6">
        <f>SUM('30 KUNLIK MOLIYA VA REYSLAR'!D25:AG25)</f>
        <v/>
      </c>
      <c r="K8" s="6">
        <f>SUM('30 KUNLIK MOLIYA VA REYSLAR'!D26:AG26)</f>
        <v/>
      </c>
      <c r="L8" s="6">
        <f>SUM('30 KUNLIK MOLIYA VA REYSLAR'!D27:AG27)</f>
        <v/>
      </c>
      <c r="M8" s="8">
        <f>(L8+K8)-J8-I8</f>
        <v/>
      </c>
    </row>
    <row r="9">
      <c r="A9" s="4" t="n">
        <v>5</v>
      </c>
      <c r="B9" s="5" t="inlineStr">
        <is>
          <t>Ruzmetov Umidbek</t>
        </is>
      </c>
      <c r="C9" s="4" t="inlineStr">
        <is>
          <t>90 972 GBA</t>
        </is>
      </c>
      <c r="D9" s="4">
        <f>COUNTA('30 KUNLIK MOLIYA VA REYSLAR'!D29:AG29)</f>
        <v/>
      </c>
      <c r="E9" s="4">
        <f>COUNTA('30 KUNLIK MOLIYA VA REYSLAR'!D30:AG30)</f>
        <v/>
      </c>
      <c r="F9" s="4">
        <f>D9+E9</f>
        <v/>
      </c>
      <c r="G9" s="4">
        <f>COUNTIF('30 KUNLIK MOLIYA VA REYSLAR'!D29:AG29, "*pustoy*") + COUNTIF('30 KUNLIK MOLIYA VA REYSLAR'!D30:AG30, "*pustoy*")</f>
        <v/>
      </c>
      <c r="H9" s="6" t="inlineStr"/>
      <c r="I9" s="7">
        <f>(F9-G9)*H9</f>
        <v/>
      </c>
      <c r="J9" s="6">
        <f>SUM('30 KUNLIK MOLIYA VA REYSLAR'!D31:AG31)</f>
        <v/>
      </c>
      <c r="K9" s="6">
        <f>SUM('30 KUNLIK MOLIYA VA REYSLAR'!D32:AG32)</f>
        <v/>
      </c>
      <c r="L9" s="6">
        <f>SUM('30 KUNLIK MOLIYA VA REYSLAR'!D33:AG33)</f>
        <v/>
      </c>
      <c r="M9" s="8">
        <f>(L9+K9)-J9-I9</f>
        <v/>
      </c>
    </row>
    <row r="10">
      <c r="A10" s="4" t="n">
        <v>6</v>
      </c>
      <c r="B10" s="5" t="inlineStr">
        <is>
          <t>BEGISHEV SARDARBEK</t>
        </is>
      </c>
      <c r="C10" s="4" t="inlineStr">
        <is>
          <t>90 209 JBA</t>
        </is>
      </c>
      <c r="D10" s="4">
        <f>COUNTA('30 KUNLIK MOLIYA VA REYSLAR'!D35:AG35)</f>
        <v/>
      </c>
      <c r="E10" s="4">
        <f>COUNTA('30 KUNLIK MOLIYA VA REYSLAR'!D36:AG36)</f>
        <v/>
      </c>
      <c r="F10" s="4">
        <f>D10+E10</f>
        <v/>
      </c>
      <c r="G10" s="4">
        <f>COUNTIF('30 KUNLIK MOLIYA VA REYSLAR'!D35:AG35, "*pustoy*") + COUNTIF('30 KUNLIK MOLIYA VA REYSLAR'!D36:AG36, "*pustoy*")</f>
        <v/>
      </c>
      <c r="H10" s="6" t="inlineStr"/>
      <c r="I10" s="7">
        <f>(F10-G10)*H10</f>
        <v/>
      </c>
      <c r="J10" s="6">
        <f>SUM('30 KUNLIK MOLIYA VA REYSLAR'!D37:AG37)</f>
        <v/>
      </c>
      <c r="K10" s="6">
        <f>SUM('30 KUNLIK MOLIYA VA REYSLAR'!D38:AG38)</f>
        <v/>
      </c>
      <c r="L10" s="6">
        <f>SUM('30 KUNLIK MOLIYA VA REYSLAR'!D39:AG39)</f>
        <v/>
      </c>
      <c r="M10" s="8">
        <f>(L10+K10)-J10-I10</f>
        <v/>
      </c>
    </row>
    <row r="11">
      <c r="A11" s="4" t="n">
        <v>7</v>
      </c>
      <c r="B11" s="5" t="inlineStr">
        <is>
          <t>BALTAYEV DILSHOD</t>
        </is>
      </c>
      <c r="C11" s="4" t="inlineStr">
        <is>
          <t>90 363 HBA</t>
        </is>
      </c>
      <c r="D11" s="4">
        <f>COUNTA('30 KUNLIK MOLIYA VA REYSLAR'!D41:AG41)</f>
        <v/>
      </c>
      <c r="E11" s="4">
        <f>COUNTA('30 KUNLIK MOLIYA VA REYSLAR'!D42:AG42)</f>
        <v/>
      </c>
      <c r="F11" s="4">
        <f>D11+E11</f>
        <v/>
      </c>
      <c r="G11" s="4">
        <f>COUNTIF('30 KUNLIK MOLIYA VA REYSLAR'!D41:AG41, "*pustoy*") + COUNTIF('30 KUNLIK MOLIYA VA REYSLAR'!D42:AG42, "*pustoy*")</f>
        <v/>
      </c>
      <c r="H11" s="6" t="inlineStr"/>
      <c r="I11" s="7">
        <f>(F11-G11)*H11</f>
        <v/>
      </c>
      <c r="J11" s="6">
        <f>SUM('30 KUNLIK MOLIYA VA REYSLAR'!D43:AG43)</f>
        <v/>
      </c>
      <c r="K11" s="6">
        <f>SUM('30 KUNLIK MOLIYA VA REYSLAR'!D44:AG44)</f>
        <v/>
      </c>
      <c r="L11" s="6">
        <f>SUM('30 KUNLIK MOLIYA VA REYSLAR'!D45:AG45)</f>
        <v/>
      </c>
      <c r="M11" s="8">
        <f>(L11+K11)-J11-I11</f>
        <v/>
      </c>
    </row>
    <row r="12">
      <c r="A12" s="4" t="n">
        <v>8</v>
      </c>
      <c r="B12" s="5" t="inlineStr">
        <is>
          <t>Adambayev Umirbek</t>
        </is>
      </c>
      <c r="C12" s="4" t="inlineStr">
        <is>
          <t>90 303 ZAA</t>
        </is>
      </c>
      <c r="D12" s="4">
        <f>COUNTA('30 KUNLIK MOLIYA VA REYSLAR'!D47:AG47)</f>
        <v/>
      </c>
      <c r="E12" s="4">
        <f>COUNTA('30 KUNLIK MOLIYA VA REYSLAR'!D48:AG48)</f>
        <v/>
      </c>
      <c r="F12" s="4">
        <f>D12+E12</f>
        <v/>
      </c>
      <c r="G12" s="4">
        <f>COUNTIF('30 KUNLIK MOLIYA VA REYSLAR'!D47:AG47, "*pustoy*") + COUNTIF('30 KUNLIK MOLIYA VA REYSLAR'!D48:AG48, "*pustoy*")</f>
        <v/>
      </c>
      <c r="H12" s="6" t="inlineStr"/>
      <c r="I12" s="7">
        <f>(F12-G12)*H12</f>
        <v/>
      </c>
      <c r="J12" s="6">
        <f>SUM('30 KUNLIK MOLIYA VA REYSLAR'!D49:AG49)</f>
        <v/>
      </c>
      <c r="K12" s="6">
        <f>SUM('30 KUNLIK MOLIYA VA REYSLAR'!D50:AG50)</f>
        <v/>
      </c>
      <c r="L12" s="6">
        <f>SUM('30 KUNLIK MOLIYA VA REYSLAR'!D51:AG51)</f>
        <v/>
      </c>
      <c r="M12" s="8">
        <f>(L12+K12)-J12-I12</f>
        <v/>
      </c>
    </row>
    <row r="13">
      <c r="A13" s="4" t="n">
        <v>9</v>
      </c>
      <c r="B13" s="5" t="inlineStr">
        <is>
          <t>Isoilov Muhammad</t>
        </is>
      </c>
      <c r="C13" s="4" t="inlineStr">
        <is>
          <t>90 973 GBA</t>
        </is>
      </c>
      <c r="D13" s="4">
        <f>COUNTA('30 KUNLIK MOLIYA VA REYSLAR'!D53:AG53)</f>
        <v/>
      </c>
      <c r="E13" s="4">
        <f>COUNTA('30 KUNLIK MOLIYA VA REYSLAR'!D54:AG54)</f>
        <v/>
      </c>
      <c r="F13" s="4">
        <f>D13+E13</f>
        <v/>
      </c>
      <c r="G13" s="4">
        <f>COUNTIF('30 KUNLIK MOLIYA VA REYSLAR'!D53:AG53, "*pustoy*") + COUNTIF('30 KUNLIK MOLIYA VA REYSLAR'!D54:AG54, "*pustoy*")</f>
        <v/>
      </c>
      <c r="H13" s="6" t="inlineStr"/>
      <c r="I13" s="7">
        <f>(F13-G13)*H13</f>
        <v/>
      </c>
      <c r="J13" s="6">
        <f>SUM('30 KUNLIK MOLIYA VA REYSLAR'!D55:AG55)</f>
        <v/>
      </c>
      <c r="K13" s="6">
        <f>SUM('30 KUNLIK MOLIYA VA REYSLAR'!D56:AG56)</f>
        <v/>
      </c>
      <c r="L13" s="6">
        <f>SUM('30 KUNLIK MOLIYA VA REYSLAR'!D57:AG57)</f>
        <v/>
      </c>
      <c r="M13" s="8">
        <f>(L13+K13)-J13-I13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8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KUNLIK JONLI JADVAL (IYUN OYI - 2026)</t>
        </is>
      </c>
    </row>
    <row r="2">
      <c r="A2" s="2" t="inlineStr">
        <is>
          <t>Borish yoki Qaytish qatoriga 'pustoy' deb yozib ketsangiz kifoya.</t>
        </is>
      </c>
    </row>
    <row r="4" ht="28" customHeight="1">
      <c r="A4" s="9" t="inlineStr">
        <is>
          <t>Haydovchi F.I.O</t>
        </is>
      </c>
      <c r="B4" s="9" t="inlineStr">
        <is>
          <t>Davlat Raqami</t>
        </is>
      </c>
      <c r="C4" s="9" t="inlineStr">
        <is>
          <t>Amaliyot Turi</t>
        </is>
      </c>
      <c r="D4" s="9" t="inlineStr">
        <is>
          <t>01.06.2026</t>
        </is>
      </c>
      <c r="E4" s="9" t="inlineStr">
        <is>
          <t>02.06.2026</t>
        </is>
      </c>
      <c r="F4" s="9" t="inlineStr">
        <is>
          <t>03.06.2026</t>
        </is>
      </c>
      <c r="G4" s="9" t="inlineStr">
        <is>
          <t>04.06.2026</t>
        </is>
      </c>
      <c r="H4" s="9" t="inlineStr">
        <is>
          <t>05.06.2026</t>
        </is>
      </c>
      <c r="I4" s="9" t="inlineStr">
        <is>
          <t>06.06.2026</t>
        </is>
      </c>
      <c r="J4" s="9" t="inlineStr">
        <is>
          <t>07.06.2026</t>
        </is>
      </c>
      <c r="K4" s="9" t="inlineStr">
        <is>
          <t>08.06.2026</t>
        </is>
      </c>
      <c r="L4" s="9" t="inlineStr">
        <is>
          <t>09.06.2026</t>
        </is>
      </c>
      <c r="M4" s="9" t="inlineStr">
        <is>
          <t>10.06.2026</t>
        </is>
      </c>
      <c r="N4" s="9" t="inlineStr">
        <is>
          <t>11.06.2026</t>
        </is>
      </c>
      <c r="O4" s="9" t="inlineStr">
        <is>
          <t>12.06.2026</t>
        </is>
      </c>
      <c r="P4" s="9" t="inlineStr">
        <is>
          <t>13.06.2026</t>
        </is>
      </c>
      <c r="Q4" s="9" t="inlineStr">
        <is>
          <t>14.06.2026</t>
        </is>
      </c>
      <c r="R4" s="9" t="inlineStr">
        <is>
          <t>15.06.2026</t>
        </is>
      </c>
      <c r="S4" s="9" t="inlineStr">
        <is>
          <t>16.06.2026</t>
        </is>
      </c>
      <c r="T4" s="9" t="inlineStr">
        <is>
          <t>17.06.2026</t>
        </is>
      </c>
      <c r="U4" s="9" t="inlineStr">
        <is>
          <t>18.06.2026</t>
        </is>
      </c>
      <c r="V4" s="9" t="inlineStr">
        <is>
          <t>19.06.2026</t>
        </is>
      </c>
      <c r="W4" s="9" t="inlineStr">
        <is>
          <t>20.06.2026</t>
        </is>
      </c>
      <c r="X4" s="9" t="inlineStr">
        <is>
          <t>21.06.2026</t>
        </is>
      </c>
      <c r="Y4" s="9" t="inlineStr">
        <is>
          <t>22.06.2026</t>
        </is>
      </c>
      <c r="Z4" s="9" t="inlineStr">
        <is>
          <t>23.06.2026</t>
        </is>
      </c>
      <c r="AA4" s="9" t="inlineStr">
        <is>
          <t>24.06.2026</t>
        </is>
      </c>
      <c r="AB4" s="9" t="inlineStr">
        <is>
          <t>25.06.2026</t>
        </is>
      </c>
      <c r="AC4" s="9" t="inlineStr">
        <is>
          <t>26.06.2026</t>
        </is>
      </c>
      <c r="AD4" s="9" t="inlineStr">
        <is>
          <t>27.06.2026</t>
        </is>
      </c>
      <c r="AE4" s="9" t="inlineStr">
        <is>
          <t>28.06.2026</t>
        </is>
      </c>
      <c r="AF4" s="9" t="inlineStr">
        <is>
          <t>29.06.2026</t>
        </is>
      </c>
      <c r="AG4" s="9" t="inlineStr">
        <is>
          <t>30.06.2026</t>
        </is>
      </c>
    </row>
    <row r="5" ht="20" customHeight="1">
      <c r="A5" s="10" t="inlineStr">
        <is>
          <t>Baltayev Egambergan</t>
        </is>
      </c>
      <c r="B5" s="4" t="inlineStr">
        <is>
          <t>90 070 HBA</t>
        </is>
      </c>
      <c r="C5" s="11" t="inlineStr">
        <is>
          <t>BORISH (Yo'nalish)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</row>
    <row r="6" ht="20" customHeight="1">
      <c r="A6" s="13" t="n"/>
      <c r="B6" s="13" t="n"/>
      <c r="C6" s="14" t="inlineStr">
        <is>
          <t>QAYTISH (Yo'nalish)</t>
        </is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</row>
    <row r="7" ht="20" customHeight="1">
      <c r="A7" s="13" t="n"/>
      <c r="B7" s="13" t="n"/>
      <c r="C7" s="15" t="inlineStr">
        <is>
          <t>Yo'l xarajati berildi (-)</t>
        </is>
      </c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</row>
    <row r="8" ht="20" customHeight="1">
      <c r="A8" s="13" t="n"/>
      <c r="B8" s="13" t="n"/>
      <c r="C8" s="17" t="inlineStr">
        <is>
          <t>Haydovchidan qaytgan pul (+)</t>
        </is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</row>
    <row r="9" ht="20" customHeight="1">
      <c r="A9" s="13" t="n"/>
      <c r="B9" s="13" t="n"/>
      <c r="C9" s="17" t="inlineStr">
        <is>
          <t>Mijozdan naqd kelgan pul (+)</t>
        </is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</row>
    <row r="10" ht="20" customHeight="1">
      <c r="A10" s="13" t="n"/>
      <c r="B10" s="13" t="n"/>
      <c r="C10" s="19" t="inlineStr">
        <is>
          <t>Haydovchi oyligi (Reys uchun) (-)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</row>
    <row r="11" ht="20" customHeight="1">
      <c r="A11" s="10" t="inlineStr">
        <is>
          <t>Kazakov Yunus</t>
        </is>
      </c>
      <c r="B11" s="4" t="inlineStr">
        <is>
          <t>90 636 HBA</t>
        </is>
      </c>
      <c r="C11" s="11" t="inlineStr">
        <is>
          <t>BORISH (Yo'nalish)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</row>
    <row r="12" ht="20" customHeight="1">
      <c r="A12" s="13" t="n"/>
      <c r="B12" s="13" t="n"/>
      <c r="C12" s="14" t="inlineStr">
        <is>
          <t>QAYTISH (Yo'nalish)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</row>
    <row r="13" ht="20" customHeight="1">
      <c r="A13" s="13" t="n"/>
      <c r="B13" s="13" t="n"/>
      <c r="C13" s="15" t="inlineStr">
        <is>
          <t>Yo'l xarajati berildi (-)</t>
        </is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</row>
    <row r="14" ht="20" customHeight="1">
      <c r="A14" s="13" t="n"/>
      <c r="B14" s="13" t="n"/>
      <c r="C14" s="17" t="inlineStr">
        <is>
          <t>Haydovchidan qaytgan pul (+)</t>
        </is>
      </c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</row>
    <row r="15" ht="20" customHeight="1">
      <c r="A15" s="13" t="n"/>
      <c r="B15" s="13" t="n"/>
      <c r="C15" s="17" t="inlineStr">
        <is>
          <t>Mijozdan naqd kelgan pul (+)</t>
        </is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</row>
    <row r="16" ht="20" customHeight="1">
      <c r="A16" s="13" t="n"/>
      <c r="B16" s="13" t="n"/>
      <c r="C16" s="19" t="inlineStr">
        <is>
          <t>Haydovchi oyligi (Reys uchun) (-)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</row>
    <row r="17" ht="20" customHeight="1">
      <c r="A17" s="10" t="inlineStr">
        <is>
          <t>ASHIROV FARID</t>
        </is>
      </c>
      <c r="B17" s="4" t="inlineStr">
        <is>
          <t>90 974 GBA</t>
        </is>
      </c>
      <c r="C17" s="11" t="inlineStr">
        <is>
          <t>BORISH (Yo'nalish)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</row>
    <row r="18" ht="20" customHeight="1">
      <c r="A18" s="13" t="n"/>
      <c r="B18" s="13" t="n"/>
      <c r="C18" s="14" t="inlineStr">
        <is>
          <t>QAYTISH (Yo'nalish)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</row>
    <row r="19" ht="20" customHeight="1">
      <c r="A19" s="13" t="n"/>
      <c r="B19" s="13" t="n"/>
      <c r="C19" s="15" t="inlineStr">
        <is>
          <t>Yo'l xarajati berildi (-)</t>
        </is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</row>
    <row r="20" ht="20" customHeight="1">
      <c r="A20" s="13" t="n"/>
      <c r="B20" s="13" t="n"/>
      <c r="C20" s="17" t="inlineStr">
        <is>
          <t>Haydovchidan qaytgan pul (+)</t>
        </is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</row>
    <row r="21" ht="20" customHeight="1">
      <c r="A21" s="13" t="n"/>
      <c r="B21" s="13" t="n"/>
      <c r="C21" s="17" t="inlineStr">
        <is>
          <t>Mijozdan naqd kelgan pul (+)</t>
        </is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</row>
    <row r="22" ht="20" customHeight="1">
      <c r="A22" s="13" t="n"/>
      <c r="B22" s="13" t="n"/>
      <c r="C22" s="19" t="inlineStr">
        <is>
          <t>Haydovchi oyligi (Reys uchun) (-)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</row>
    <row r="23" ht="20" customHeight="1">
      <c r="A23" s="10" t="inlineStr">
        <is>
          <t>Baltayev Umirbek</t>
        </is>
      </c>
      <c r="B23" s="4" t="inlineStr">
        <is>
          <t>90 844 CBA</t>
        </is>
      </c>
      <c r="C23" s="11" t="inlineStr">
        <is>
          <t>BORISH (Yo'nalish)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</row>
    <row r="24" ht="20" customHeight="1">
      <c r="A24" s="13" t="n"/>
      <c r="B24" s="13" t="n"/>
      <c r="C24" s="14" t="inlineStr">
        <is>
          <t>QAYTISH (Yo'nalish)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</row>
    <row r="25" ht="20" customHeight="1">
      <c r="A25" s="13" t="n"/>
      <c r="B25" s="13" t="n"/>
      <c r="C25" s="15" t="inlineStr">
        <is>
          <t>Yo'l xarajati berildi (-)</t>
        </is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</row>
    <row r="26" ht="20" customHeight="1">
      <c r="A26" s="13" t="n"/>
      <c r="B26" s="13" t="n"/>
      <c r="C26" s="17" t="inlineStr">
        <is>
          <t>Haydovchidan qaytgan pul (+)</t>
        </is>
      </c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</row>
    <row r="27" ht="20" customHeight="1">
      <c r="A27" s="13" t="n"/>
      <c r="B27" s="13" t="n"/>
      <c r="C27" s="17" t="inlineStr">
        <is>
          <t>Mijozdan naqd kelgan pul (+)</t>
        </is>
      </c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</row>
    <row r="28" ht="20" customHeight="1">
      <c r="A28" s="13" t="n"/>
      <c r="B28" s="13" t="n"/>
      <c r="C28" s="19" t="inlineStr">
        <is>
          <t>Haydovchi oyligi (Reys uchun) (-)</t>
        </is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</row>
    <row r="29" ht="20" customHeight="1">
      <c r="A29" s="10" t="inlineStr">
        <is>
          <t>Ruzmetov Umidbek</t>
        </is>
      </c>
      <c r="B29" s="4" t="inlineStr">
        <is>
          <t>90 972 GBA</t>
        </is>
      </c>
      <c r="C29" s="11" t="inlineStr">
        <is>
          <t>BORISH (Yo'nalish)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</row>
    <row r="30" ht="20" customHeight="1">
      <c r="A30" s="13" t="n"/>
      <c r="B30" s="13" t="n"/>
      <c r="C30" s="14" t="inlineStr">
        <is>
          <t>QAYTISH (Yo'nalish)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</row>
    <row r="31" ht="20" customHeight="1">
      <c r="A31" s="13" t="n"/>
      <c r="B31" s="13" t="n"/>
      <c r="C31" s="15" t="inlineStr">
        <is>
          <t>Yo'l xarajati berildi (-)</t>
        </is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</row>
    <row r="32" ht="20" customHeight="1">
      <c r="A32" s="13" t="n"/>
      <c r="B32" s="13" t="n"/>
      <c r="C32" s="17" t="inlineStr">
        <is>
          <t>Haydovchidan qaytgan pul (+)</t>
        </is>
      </c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</row>
    <row r="33" ht="20" customHeight="1">
      <c r="A33" s="13" t="n"/>
      <c r="B33" s="13" t="n"/>
      <c r="C33" s="17" t="inlineStr">
        <is>
          <t>Mijozdan naqd kelgan pul (+)</t>
        </is>
      </c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</row>
    <row r="34" ht="20" customHeight="1">
      <c r="A34" s="13" t="n"/>
      <c r="B34" s="13" t="n"/>
      <c r="C34" s="19" t="inlineStr">
        <is>
          <t>Haydovchi oyligi (Reys uchun) (-)</t>
        </is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</row>
    <row r="35" ht="20" customHeight="1">
      <c r="A35" s="10" t="inlineStr">
        <is>
          <t>BEGISHEV SARDARBEK</t>
        </is>
      </c>
      <c r="B35" s="4" t="inlineStr">
        <is>
          <t>90 209 JBA</t>
        </is>
      </c>
      <c r="C35" s="11" t="inlineStr">
        <is>
          <t>BORISH (Yo'nalish)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</row>
    <row r="36" ht="20" customHeight="1">
      <c r="A36" s="13" t="n"/>
      <c r="B36" s="13" t="n"/>
      <c r="C36" s="14" t="inlineStr">
        <is>
          <t>QAYTISH (Yo'nalish)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</row>
    <row r="37" ht="20" customHeight="1">
      <c r="A37" s="13" t="n"/>
      <c r="B37" s="13" t="n"/>
      <c r="C37" s="15" t="inlineStr">
        <is>
          <t>Yo'l xarajati berildi (-)</t>
        </is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</row>
    <row r="38" ht="20" customHeight="1">
      <c r="A38" s="13" t="n"/>
      <c r="B38" s="13" t="n"/>
      <c r="C38" s="17" t="inlineStr">
        <is>
          <t>Haydovchidan qaytgan pul (+)</t>
        </is>
      </c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</row>
    <row r="39" ht="20" customHeight="1">
      <c r="A39" s="13" t="n"/>
      <c r="B39" s="13" t="n"/>
      <c r="C39" s="17" t="inlineStr">
        <is>
          <t>Mijozdan naqd kelgan pul (+)</t>
        </is>
      </c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</row>
    <row r="40" ht="20" customHeight="1">
      <c r="A40" s="13" t="n"/>
      <c r="B40" s="13" t="n"/>
      <c r="C40" s="19" t="inlineStr">
        <is>
          <t>Haydovchi oyligi (Reys uchun) (-)</t>
        </is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</row>
    <row r="41" ht="20" customHeight="1">
      <c r="A41" s="10" t="inlineStr">
        <is>
          <t>BALTAYEV DILSHOD</t>
        </is>
      </c>
      <c r="B41" s="4" t="inlineStr">
        <is>
          <t>90 363 HBA</t>
        </is>
      </c>
      <c r="C41" s="11" t="inlineStr">
        <is>
          <t>BORISH (Yo'nalish)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</row>
    <row r="42" ht="20" customHeight="1">
      <c r="A42" s="13" t="n"/>
      <c r="B42" s="13" t="n"/>
      <c r="C42" s="14" t="inlineStr">
        <is>
          <t>QAYTISH (Yo'nalish)</t>
        </is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</row>
    <row r="43" ht="20" customHeight="1">
      <c r="A43" s="13" t="n"/>
      <c r="B43" s="13" t="n"/>
      <c r="C43" s="15" t="inlineStr">
        <is>
          <t>Yo'l xarajati berildi (-)</t>
        </is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</row>
    <row r="44" ht="20" customHeight="1">
      <c r="A44" s="13" t="n"/>
      <c r="B44" s="13" t="n"/>
      <c r="C44" s="17" t="inlineStr">
        <is>
          <t>Haydovchidan qaytgan pul (+)</t>
        </is>
      </c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</row>
    <row r="45" ht="20" customHeight="1">
      <c r="A45" s="13" t="n"/>
      <c r="B45" s="13" t="n"/>
      <c r="C45" s="17" t="inlineStr">
        <is>
          <t>Mijozdan naqd kelgan pul (+)</t>
        </is>
      </c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</row>
    <row r="46" ht="20" customHeight="1">
      <c r="A46" s="13" t="n"/>
      <c r="B46" s="13" t="n"/>
      <c r="C46" s="19" t="inlineStr">
        <is>
          <t>Haydovchi oyligi (Reys uchun) (-)</t>
        </is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</row>
    <row r="47" ht="20" customHeight="1">
      <c r="A47" s="10" t="inlineStr">
        <is>
          <t>Adambayev Umirbek</t>
        </is>
      </c>
      <c r="B47" s="4" t="inlineStr">
        <is>
          <t>90 303 ZAA</t>
        </is>
      </c>
      <c r="C47" s="11" t="inlineStr">
        <is>
          <t>BORISH (Yo'nalish)</t>
        </is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</row>
    <row r="48" ht="20" customHeight="1">
      <c r="A48" s="13" t="n"/>
      <c r="B48" s="13" t="n"/>
      <c r="C48" s="14" t="inlineStr">
        <is>
          <t>QAYTISH (Yo'nalish)</t>
        </is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</row>
    <row r="49" ht="20" customHeight="1">
      <c r="A49" s="13" t="n"/>
      <c r="B49" s="13" t="n"/>
      <c r="C49" s="15" t="inlineStr">
        <is>
          <t>Yo'l xarajati berildi (-)</t>
        </is>
      </c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</row>
    <row r="50" ht="20" customHeight="1">
      <c r="A50" s="13" t="n"/>
      <c r="B50" s="13" t="n"/>
      <c r="C50" s="17" t="inlineStr">
        <is>
          <t>Haydovchidan qaytgan pul (+)</t>
        </is>
      </c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</row>
    <row r="51" ht="20" customHeight="1">
      <c r="A51" s="13" t="n"/>
      <c r="B51" s="13" t="n"/>
      <c r="C51" s="17" t="inlineStr">
        <is>
          <t>Mijozdan naqd kelgan pul (+)</t>
        </is>
      </c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</row>
    <row r="52" ht="20" customHeight="1">
      <c r="A52" s="13" t="n"/>
      <c r="B52" s="13" t="n"/>
      <c r="C52" s="19" t="inlineStr">
        <is>
          <t>Haydovchi oyligi (Reys uchun) (-)</t>
        </is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</row>
    <row r="53" ht="20" customHeight="1">
      <c r="A53" s="10" t="inlineStr">
        <is>
          <t>Isoilov Muhammad</t>
        </is>
      </c>
      <c r="B53" s="4" t="inlineStr">
        <is>
          <t>90 973 GBA</t>
        </is>
      </c>
      <c r="C53" s="11" t="inlineStr">
        <is>
          <t>BORISH (Yo'nalish)</t>
        </is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</row>
    <row r="54" ht="20" customHeight="1">
      <c r="A54" s="13" t="n"/>
      <c r="B54" s="13" t="n"/>
      <c r="C54" s="14" t="inlineStr">
        <is>
          <t>QAYTISH (Yo'nalish)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</row>
    <row r="55" ht="20" customHeight="1">
      <c r="A55" s="13" t="n"/>
      <c r="B55" s="13" t="n"/>
      <c r="C55" s="15" t="inlineStr">
        <is>
          <t>Yo'l xarajati berildi (-)</t>
        </is>
      </c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</row>
    <row r="56" ht="20" customHeight="1">
      <c r="A56" s="13" t="n"/>
      <c r="B56" s="13" t="n"/>
      <c r="C56" s="17" t="inlineStr">
        <is>
          <t>Haydovchidan qaytgan pul (+)</t>
        </is>
      </c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</row>
    <row r="57" ht="20" customHeight="1">
      <c r="A57" s="13" t="n"/>
      <c r="B57" s="13" t="n"/>
      <c r="C57" s="17" t="inlineStr">
        <is>
          <t>Mijozdan naqd kelgan pul (+)</t>
        </is>
      </c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</row>
    <row r="58" ht="20" customHeight="1">
      <c r="A58" s="13" t="n"/>
      <c r="B58" s="13" t="n"/>
      <c r="C58" s="19" t="inlineStr">
        <is>
          <t>Haydovchi oyligi (Reys uchun) (-)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</row>
  </sheetData>
  <mergeCells count="18">
    <mergeCell ref="B35:B40"/>
    <mergeCell ref="B47:B52"/>
    <mergeCell ref="A17:A22"/>
    <mergeCell ref="A35:A40"/>
    <mergeCell ref="B41:B46"/>
    <mergeCell ref="A53:A58"/>
    <mergeCell ref="B17:B22"/>
    <mergeCell ref="A29:A34"/>
    <mergeCell ref="B11:B16"/>
    <mergeCell ref="B23:B28"/>
    <mergeCell ref="B53:B58"/>
    <mergeCell ref="B5:B10"/>
    <mergeCell ref="A11:A16"/>
    <mergeCell ref="B29:B34"/>
    <mergeCell ref="A47:A52"/>
    <mergeCell ref="A5:A10"/>
    <mergeCell ref="A23:A28"/>
    <mergeCell ref="A41:A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2026-06-15T10:28:49Z</dcterms:created>
  <dcterms:modified xmlns:dcterms="http://purl.org/dc/terms/" xmlns:xsi="http://www.w3.org/2001/XMLSchema-instance" xsi:type="dcterms:W3CDTF">2026-06-15T10:28:50Z</dcterms:modified>
</cp:coreProperties>
</file>